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thabh/Downloads/"/>
    </mc:Choice>
  </mc:AlternateContent>
  <xr:revisionPtr revIDLastSave="0" documentId="13_ncr:1_{6813B586-435C-BF42-8D33-03BF67BD075A}" xr6:coauthVersionLast="47" xr6:coauthVersionMax="47" xr10:uidLastSave="{00000000-0000-0000-0000-000000000000}"/>
  <bookViews>
    <workbookView xWindow="0" yWindow="660" windowWidth="30240" windowHeight="17140" activeTab="1" xr2:uid="{3822D054-3D51-1D4D-B966-F26B69665DBB}"/>
  </bookViews>
  <sheets>
    <sheet name="Data" sheetId="1" r:id="rId1"/>
    <sheet name="Timeseri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2" i="1" l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</calcChain>
</file>

<file path=xl/sharedStrings.xml><?xml version="1.0" encoding="utf-8"?>
<sst xmlns="http://schemas.openxmlformats.org/spreadsheetml/2006/main" count="119" uniqueCount="62">
  <si>
    <t>SCENARIO</t>
  </si>
  <si>
    <t>NAME</t>
  </si>
  <si>
    <t>SEQUENCE</t>
  </si>
  <si>
    <t>SHIPMENT_PROMPTS</t>
  </si>
  <si>
    <t>SHIPMENTS</t>
  </si>
  <si>
    <t>CUSTOMERS</t>
  </si>
  <si>
    <t>CUSTOMER_OVERRIDES</t>
  </si>
  <si>
    <t>SHIPMENT_OVERRIDES</t>
  </si>
  <si>
    <t>ACTIONS</t>
  </si>
  <si>
    <t>RATE_BEFORE_ACTION</t>
  </si>
  <si>
    <t>RATE_AFTER_ACTION</t>
  </si>
  <si>
    <t>UPSTREAM_INVALID</t>
  </si>
  <si>
    <t>ACTION_NOT_CONFIGURED</t>
  </si>
  <si>
    <t>UNABLE_TO_TAKE_ACTION</t>
  </si>
  <si>
    <t>INVALID_POST_ACTION</t>
  </si>
  <si>
    <t>TRESHOLD</t>
  </si>
  <si>
    <t>MATCHES</t>
  </si>
  <si>
    <t>FEEDBACK_DETERMINED</t>
  </si>
  <si>
    <t>ACCURACY</t>
  </si>
  <si>
    <t>STOPPING</t>
  </si>
  <si>
    <t>STopRate</t>
  </si>
  <si>
    <t>Status</t>
  </si>
  <si>
    <t>GF - Ocean Acknowledgement - FCL</t>
  </si>
  <si>
    <t>Validate Customer Code</t>
  </si>
  <si>
    <t>P2</t>
  </si>
  <si>
    <t>Reference Number</t>
  </si>
  <si>
    <t>P1</t>
  </si>
  <si>
    <t>Customer Owning Branch (COB)</t>
  </si>
  <si>
    <t>Shipment Role Validation</t>
  </si>
  <si>
    <t>Shipment final delivery location</t>
  </si>
  <si>
    <t>Incoterms and LOC (Location)</t>
  </si>
  <si>
    <t>Prepaid or Collect</t>
  </si>
  <si>
    <t>Shipper</t>
  </si>
  <si>
    <t>?</t>
  </si>
  <si>
    <t>Consignee</t>
  </si>
  <si>
    <t>Completed</t>
  </si>
  <si>
    <t>Destination Forwarding Party (DFP)</t>
  </si>
  <si>
    <t>Confirm Origin Forwarding Party ( OFP)  (One Sided)</t>
  </si>
  <si>
    <t>DFP Primary</t>
  </si>
  <si>
    <t>DFP Secondary</t>
  </si>
  <si>
    <t>DXV (Destination Viewable)</t>
  </si>
  <si>
    <t>Notify Party</t>
  </si>
  <si>
    <t>Importer Of Record</t>
  </si>
  <si>
    <t>Validate BillTo Ref number</t>
  </si>
  <si>
    <t>Estimated Charges Primary Invoice</t>
  </si>
  <si>
    <t>Estimated Charges AddBill Invoice</t>
  </si>
  <si>
    <t>Estimated charges on the Destination Customs BillTo</t>
  </si>
  <si>
    <t>Additional Service Providers</t>
  </si>
  <si>
    <t>Main line carrier service level</t>
  </si>
  <si>
    <t>Shipment Service Level</t>
  </si>
  <si>
    <t>Verify Routing</t>
  </si>
  <si>
    <t>Final Delivery location ETA date</t>
  </si>
  <si>
    <t>Commodity</t>
  </si>
  <si>
    <t>Steamship Line Sailing Schedule</t>
  </si>
  <si>
    <t>Steamship Line T-code presence</t>
  </si>
  <si>
    <t>Confirm Equipment</t>
  </si>
  <si>
    <t>tbd</t>
  </si>
  <si>
    <t>Customer booking approval</t>
  </si>
  <si>
    <t>Change Unreleased Status to Active</t>
  </si>
  <si>
    <t>Confirm Acknowledgment Date</t>
  </si>
  <si>
    <t>Date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</si>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</sst>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2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3" fillId="2" borderId="0" xfId="0" applyFont="1" applyFill="1"/>
    <xf numFmtId="9" fontId="3" fillId="0" borderId="0" xfId="2" applyFont="1"/>
    <xf numFmtId="164" fontId="3" fillId="0" borderId="0" xfId="1" applyNumberFormat="1" applyFont="1"/>
    <xf numFmtId="9" fontId="3" fillId="0" borderId="0" xfId="2" applyFont="1" applyAlignment="1">
      <alignment horizontal="center"/>
    </xf>
    <xf numFmtId="0" fontId="3" fillId="0" borderId="0" xfId="0" applyFont="1" applyAlignment="1">
      <alignment horizontal="center"/>
    </xf>
    <xf numFmtId="9" fontId="0" fillId="0" borderId="0" xfId="2" applyFont="1"/>
    <xf numFmtId="164" fontId="0" fillId="0" borderId="0" xfId="1" applyNumberFormat="1" applyFont="1"/>
    <xf numFmtId="9" fontId="0" fillId="0" borderId="0" xfId="2" applyFont="1" applyAlignment="1">
      <alignment horizontal="center"/>
    </xf>
    <xf numFmtId="0" fontId="0" fillId="0" borderId="0" xfId="0" applyAlignment="1">
      <alignment horizontal="center"/>
    </xf>
    <xf numFmtId="9" fontId="4" fillId="0" borderId="0" xfId="2" applyFont="1" applyAlignment="1">
      <alignment horizontal="center"/>
    </xf>
    <xf numFmtId="0" fontId="0" fillId="3" borderId="0" xfId="0" applyFill="1"/>
    <xf numFmtId="9" fontId="0" fillId="3" borderId="0" xfId="2" applyFont="1" applyFill="1"/>
    <xf numFmtId="164" fontId="0" fillId="3" borderId="0" xfId="1" applyNumberFormat="1" applyFont="1" applyFill="1"/>
    <xf numFmtId="9" fontId="0" fillId="3" borderId="0" xfId="2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B6E9-4468-DB4D-9619-517EBDCB5BD4}">
  <dimension ref="A1:V33"/>
  <sheetViews>
    <sheetView topLeftCell="B1" workbookViewId="0">
      <selection activeCell="T1" sqref="T1"/>
    </sheetView>
  </sheetViews>
  <sheetFormatPr baseColWidth="10" defaultRowHeight="16" x14ac:dyDescent="0.2"/>
  <cols>
    <col min="2" max="2" width="35.1640625" customWidth="1"/>
    <col min="10" max="10" width="8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1" t="s">
        <v>16</v>
      </c>
      <c r="R1" s="1" t="s">
        <v>17</v>
      </c>
      <c r="S1" s="5" t="s">
        <v>18</v>
      </c>
      <c r="T1" s="1" t="s">
        <v>19</v>
      </c>
      <c r="U1" s="1" t="s">
        <v>20</v>
      </c>
      <c r="V1" s="6" t="s">
        <v>21</v>
      </c>
    </row>
    <row r="2" spans="1:22" x14ac:dyDescent="0.2">
      <c r="A2" t="s">
        <v>22</v>
      </c>
      <c r="B2" t="s">
        <v>23</v>
      </c>
      <c r="C2">
        <v>0</v>
      </c>
      <c r="D2">
        <v>156</v>
      </c>
      <c r="E2">
        <v>156</v>
      </c>
      <c r="F2">
        <v>58</v>
      </c>
      <c r="G2">
        <v>0</v>
      </c>
      <c r="H2">
        <v>0</v>
      </c>
      <c r="I2">
        <v>0</v>
      </c>
      <c r="J2" s="7">
        <v>0.97435899999999998</v>
      </c>
      <c r="K2" s="7">
        <v>0.97435899999999998</v>
      </c>
      <c r="L2" s="8">
        <v>0</v>
      </c>
      <c r="M2" s="8">
        <v>0</v>
      </c>
      <c r="N2" s="8">
        <v>4</v>
      </c>
      <c r="O2" s="8">
        <v>0</v>
      </c>
      <c r="P2" s="7">
        <v>0.9</v>
      </c>
      <c r="Q2">
        <v>109</v>
      </c>
      <c r="R2">
        <v>113</v>
      </c>
      <c r="S2" s="9">
        <v>0.96460199999999996</v>
      </c>
      <c r="T2">
        <v>4</v>
      </c>
      <c r="U2" s="7">
        <f>SUM($T$2:T2)/SUM($T$2:$T$32)</f>
        <v>2.5974025974025976E-2</v>
      </c>
      <c r="V2" s="10" t="s">
        <v>24</v>
      </c>
    </row>
    <row r="3" spans="1:22" x14ac:dyDescent="0.2">
      <c r="A3" t="s">
        <v>22</v>
      </c>
      <c r="B3" t="s">
        <v>25</v>
      </c>
      <c r="C3">
        <v>1</v>
      </c>
      <c r="D3">
        <v>156</v>
      </c>
      <c r="E3">
        <v>156</v>
      </c>
      <c r="F3">
        <v>58</v>
      </c>
      <c r="G3">
        <v>4</v>
      </c>
      <c r="H3">
        <v>28</v>
      </c>
      <c r="I3">
        <v>0</v>
      </c>
      <c r="J3" s="7">
        <v>0.90384600000000004</v>
      </c>
      <c r="K3" s="7">
        <v>0.90384600000000004</v>
      </c>
      <c r="L3" s="8">
        <v>0</v>
      </c>
      <c r="M3" s="8">
        <v>0</v>
      </c>
      <c r="N3" s="8">
        <v>15</v>
      </c>
      <c r="O3" s="8">
        <v>0</v>
      </c>
      <c r="P3" s="7">
        <v>0.8</v>
      </c>
      <c r="Q3">
        <v>104</v>
      </c>
      <c r="R3">
        <v>112</v>
      </c>
      <c r="S3" s="9">
        <v>0.92857100000000004</v>
      </c>
      <c r="T3">
        <v>14</v>
      </c>
      <c r="U3" s="7">
        <f>SUM($T$2:T3)/SUM($T$2:$T$32)</f>
        <v>0.11688311688311688</v>
      </c>
      <c r="V3" s="6" t="s">
        <v>26</v>
      </c>
    </row>
    <row r="4" spans="1:22" x14ac:dyDescent="0.2">
      <c r="A4" t="s">
        <v>22</v>
      </c>
      <c r="B4" t="s">
        <v>27</v>
      </c>
      <c r="C4">
        <v>2</v>
      </c>
      <c r="D4">
        <v>156</v>
      </c>
      <c r="E4">
        <v>156</v>
      </c>
      <c r="F4">
        <v>58</v>
      </c>
      <c r="G4">
        <v>0</v>
      </c>
      <c r="H4">
        <v>0</v>
      </c>
      <c r="I4">
        <v>0</v>
      </c>
      <c r="J4" s="7">
        <v>0.99358999999999997</v>
      </c>
      <c r="K4" s="7">
        <v>0.99358999999999997</v>
      </c>
      <c r="L4" s="8">
        <v>0</v>
      </c>
      <c r="M4" s="8">
        <v>0</v>
      </c>
      <c r="N4" s="8">
        <v>1</v>
      </c>
      <c r="O4" s="8">
        <v>0</v>
      </c>
      <c r="P4" s="7">
        <v>0.9</v>
      </c>
      <c r="Q4">
        <v>102</v>
      </c>
      <c r="R4">
        <v>111</v>
      </c>
      <c r="S4" s="9">
        <v>0.91891900000000004</v>
      </c>
      <c r="T4">
        <v>0</v>
      </c>
      <c r="U4" s="7">
        <f>SUM($T$2:T4)/SUM($T$2:$T$32)</f>
        <v>0.11688311688311688</v>
      </c>
      <c r="V4" s="10" t="s">
        <v>24</v>
      </c>
    </row>
    <row r="5" spans="1:22" x14ac:dyDescent="0.2">
      <c r="A5" t="s">
        <v>22</v>
      </c>
      <c r="B5" t="s">
        <v>28</v>
      </c>
      <c r="C5">
        <v>3</v>
      </c>
      <c r="D5">
        <v>156</v>
      </c>
      <c r="E5">
        <v>156</v>
      </c>
      <c r="F5">
        <v>58</v>
      </c>
      <c r="G5">
        <v>0</v>
      </c>
      <c r="H5">
        <v>0</v>
      </c>
      <c r="I5">
        <v>1</v>
      </c>
      <c r="J5" s="7">
        <v>0.961538</v>
      </c>
      <c r="K5" s="7">
        <v>0.961538</v>
      </c>
      <c r="L5" s="8">
        <v>0</v>
      </c>
      <c r="M5" s="8">
        <v>0</v>
      </c>
      <c r="N5" s="8">
        <v>6</v>
      </c>
      <c r="O5" s="8">
        <v>0</v>
      </c>
      <c r="P5" s="7">
        <v>0.9</v>
      </c>
      <c r="Q5">
        <v>107</v>
      </c>
      <c r="R5">
        <v>113</v>
      </c>
      <c r="S5" s="9">
        <v>0.94690300000000005</v>
      </c>
      <c r="T5">
        <v>5</v>
      </c>
      <c r="U5" s="7">
        <f>SUM($T$2:T5)/SUM($T$2:$T$32)</f>
        <v>0.14935064935064934</v>
      </c>
      <c r="V5" s="10" t="s">
        <v>24</v>
      </c>
    </row>
    <row r="6" spans="1:22" x14ac:dyDescent="0.2">
      <c r="A6" t="s">
        <v>22</v>
      </c>
      <c r="B6" t="s">
        <v>29</v>
      </c>
      <c r="C6">
        <v>4</v>
      </c>
      <c r="D6">
        <v>156</v>
      </c>
      <c r="E6">
        <v>156</v>
      </c>
      <c r="F6">
        <v>58</v>
      </c>
      <c r="G6">
        <v>0</v>
      </c>
      <c r="H6">
        <v>0</v>
      </c>
      <c r="I6">
        <v>0</v>
      </c>
      <c r="J6" s="7">
        <v>0.68589699999999998</v>
      </c>
      <c r="K6" s="7">
        <v>0.68589699999999998</v>
      </c>
      <c r="L6" s="8">
        <v>0</v>
      </c>
      <c r="M6" s="8">
        <v>1</v>
      </c>
      <c r="N6" s="8">
        <v>48</v>
      </c>
      <c r="O6" s="8">
        <v>0</v>
      </c>
      <c r="P6" s="7">
        <v>0.9</v>
      </c>
      <c r="Q6">
        <v>70</v>
      </c>
      <c r="R6">
        <v>109</v>
      </c>
      <c r="S6" s="11">
        <v>0.64220200000000005</v>
      </c>
      <c r="T6">
        <v>36</v>
      </c>
      <c r="U6" s="7">
        <f>SUM($T$2:T6)/SUM($T$2:$T$32)</f>
        <v>0.38311688311688313</v>
      </c>
      <c r="V6" s="6" t="s">
        <v>26</v>
      </c>
    </row>
    <row r="7" spans="1:22" x14ac:dyDescent="0.2">
      <c r="A7" t="s">
        <v>22</v>
      </c>
      <c r="B7" t="s">
        <v>30</v>
      </c>
      <c r="C7">
        <v>5</v>
      </c>
      <c r="D7">
        <v>156</v>
      </c>
      <c r="E7">
        <v>156</v>
      </c>
      <c r="F7">
        <v>58</v>
      </c>
      <c r="G7">
        <v>0</v>
      </c>
      <c r="H7">
        <v>0</v>
      </c>
      <c r="I7">
        <v>0</v>
      </c>
      <c r="J7" s="7">
        <v>0.86538499999999996</v>
      </c>
      <c r="K7" s="7">
        <v>0.86538499999999996</v>
      </c>
      <c r="L7" s="8">
        <v>0</v>
      </c>
      <c r="M7" s="8">
        <v>1</v>
      </c>
      <c r="N7" s="8">
        <v>21</v>
      </c>
      <c r="O7" s="8">
        <v>0</v>
      </c>
      <c r="P7" s="7">
        <v>0.7</v>
      </c>
      <c r="Q7">
        <v>100</v>
      </c>
      <c r="R7">
        <v>113</v>
      </c>
      <c r="S7" s="9">
        <v>0.88495599999999996</v>
      </c>
      <c r="T7">
        <v>8</v>
      </c>
      <c r="U7" s="7">
        <f>SUM($T$2:T7)/SUM($T$2:$T$32)</f>
        <v>0.43506493506493504</v>
      </c>
      <c r="V7" s="10" t="s">
        <v>24</v>
      </c>
    </row>
    <row r="8" spans="1:22" x14ac:dyDescent="0.2">
      <c r="A8" t="s">
        <v>22</v>
      </c>
      <c r="B8" t="s">
        <v>31</v>
      </c>
      <c r="C8">
        <v>6</v>
      </c>
      <c r="D8">
        <v>156</v>
      </c>
      <c r="E8">
        <v>156</v>
      </c>
      <c r="F8">
        <v>58</v>
      </c>
      <c r="G8">
        <v>0</v>
      </c>
      <c r="H8">
        <v>0</v>
      </c>
      <c r="I8">
        <v>0</v>
      </c>
      <c r="J8" s="7">
        <v>0.95512799999999998</v>
      </c>
      <c r="K8" s="7">
        <v>0.95512799999999998</v>
      </c>
      <c r="L8" s="8">
        <v>0</v>
      </c>
      <c r="M8" s="8">
        <v>0</v>
      </c>
      <c r="N8" s="8">
        <v>8</v>
      </c>
      <c r="O8" s="8">
        <v>0</v>
      </c>
      <c r="P8" s="7">
        <v>0.7</v>
      </c>
      <c r="Q8">
        <v>106</v>
      </c>
      <c r="R8">
        <v>113</v>
      </c>
      <c r="S8" s="9">
        <v>0.93805300000000003</v>
      </c>
      <c r="T8">
        <v>0</v>
      </c>
      <c r="U8" s="7">
        <f>SUM($T$2:T8)/SUM($T$2:$T$32)</f>
        <v>0.43506493506493504</v>
      </c>
      <c r="V8" s="10" t="s">
        <v>24</v>
      </c>
    </row>
    <row r="9" spans="1:22" x14ac:dyDescent="0.2">
      <c r="A9" t="s">
        <v>22</v>
      </c>
      <c r="B9" t="s">
        <v>32</v>
      </c>
      <c r="C9">
        <v>7</v>
      </c>
      <c r="D9">
        <v>156</v>
      </c>
      <c r="E9">
        <v>156</v>
      </c>
      <c r="F9">
        <v>58</v>
      </c>
      <c r="G9">
        <v>0</v>
      </c>
      <c r="H9">
        <v>0</v>
      </c>
      <c r="I9">
        <v>0</v>
      </c>
      <c r="J9" s="7">
        <v>0.87179499999999999</v>
      </c>
      <c r="K9" s="7">
        <v>0.87179499999999999</v>
      </c>
      <c r="L9" s="8">
        <v>0</v>
      </c>
      <c r="M9" s="8">
        <v>1</v>
      </c>
      <c r="N9" s="8">
        <v>19</v>
      </c>
      <c r="O9" s="8">
        <v>0</v>
      </c>
      <c r="P9" s="7">
        <v>0.8</v>
      </c>
      <c r="Q9">
        <v>59</v>
      </c>
      <c r="R9">
        <v>81</v>
      </c>
      <c r="S9" s="9">
        <v>0.72839500000000001</v>
      </c>
      <c r="T9">
        <v>8</v>
      </c>
      <c r="U9" s="7">
        <f>SUM($T$2:T9)/SUM($T$2:$T$32)</f>
        <v>0.48701298701298701</v>
      </c>
      <c r="V9" s="10" t="s">
        <v>33</v>
      </c>
    </row>
    <row r="10" spans="1:22" x14ac:dyDescent="0.2">
      <c r="A10" s="12" t="s">
        <v>22</v>
      </c>
      <c r="B10" s="12" t="s">
        <v>34</v>
      </c>
      <c r="C10" s="12">
        <v>8</v>
      </c>
      <c r="D10" s="12">
        <v>156</v>
      </c>
      <c r="E10" s="12">
        <v>156</v>
      </c>
      <c r="F10" s="12">
        <v>58</v>
      </c>
      <c r="G10" s="12">
        <v>1</v>
      </c>
      <c r="H10" s="12">
        <v>8</v>
      </c>
      <c r="I10" s="12">
        <v>4</v>
      </c>
      <c r="J10" s="13">
        <v>0.85897400000000002</v>
      </c>
      <c r="K10" s="13">
        <v>0.88461500000000004</v>
      </c>
      <c r="L10" s="14">
        <v>2</v>
      </c>
      <c r="M10" s="14">
        <v>0</v>
      </c>
      <c r="N10" s="14">
        <v>16</v>
      </c>
      <c r="O10" s="14">
        <v>0</v>
      </c>
      <c r="P10" s="13">
        <v>0.9</v>
      </c>
      <c r="Q10" s="12">
        <v>64</v>
      </c>
      <c r="R10" s="12">
        <v>76</v>
      </c>
      <c r="S10" s="15">
        <v>0.84210499999999999</v>
      </c>
      <c r="T10" s="12">
        <v>2</v>
      </c>
      <c r="U10" s="13">
        <f>SUM($T$2:T10)/SUM($T$2:$T$32)</f>
        <v>0.5</v>
      </c>
      <c r="V10" s="16" t="s">
        <v>35</v>
      </c>
    </row>
    <row r="11" spans="1:22" x14ac:dyDescent="0.2">
      <c r="A11" t="s">
        <v>22</v>
      </c>
      <c r="B11" t="s">
        <v>36</v>
      </c>
      <c r="C11">
        <v>9</v>
      </c>
      <c r="D11">
        <v>156</v>
      </c>
      <c r="E11">
        <v>156</v>
      </c>
      <c r="F11">
        <v>58</v>
      </c>
      <c r="G11">
        <v>0</v>
      </c>
      <c r="H11">
        <v>0</v>
      </c>
      <c r="I11">
        <v>0</v>
      </c>
      <c r="J11" s="7">
        <v>0.99358999999999997</v>
      </c>
      <c r="K11" s="7">
        <v>0.99358999999999997</v>
      </c>
      <c r="L11" s="8">
        <v>0</v>
      </c>
      <c r="M11" s="8">
        <v>0</v>
      </c>
      <c r="N11" s="8">
        <v>1</v>
      </c>
      <c r="O11" s="8">
        <v>0</v>
      </c>
      <c r="P11" s="7">
        <v>0.9</v>
      </c>
      <c r="Q11">
        <v>67</v>
      </c>
      <c r="R11">
        <v>76</v>
      </c>
      <c r="S11" s="9">
        <v>0.881579</v>
      </c>
      <c r="T11">
        <v>0</v>
      </c>
      <c r="U11" s="7">
        <f>SUM($T$2:T11)/SUM($T$2:$T$32)</f>
        <v>0.5</v>
      </c>
      <c r="V11" s="10" t="s">
        <v>35</v>
      </c>
    </row>
    <row r="12" spans="1:22" x14ac:dyDescent="0.2">
      <c r="A12" t="s">
        <v>22</v>
      </c>
      <c r="B12" t="s">
        <v>37</v>
      </c>
      <c r="C12">
        <v>10</v>
      </c>
      <c r="D12">
        <v>156</v>
      </c>
      <c r="E12">
        <v>156</v>
      </c>
      <c r="F12">
        <v>58</v>
      </c>
      <c r="G12">
        <v>0</v>
      </c>
      <c r="H12">
        <v>0</v>
      </c>
      <c r="I12">
        <v>0</v>
      </c>
      <c r="J12" s="7">
        <v>0.95512799999999998</v>
      </c>
      <c r="K12" s="7">
        <v>0.95512799999999998</v>
      </c>
      <c r="L12" s="8">
        <v>1</v>
      </c>
      <c r="M12" s="8">
        <v>0</v>
      </c>
      <c r="N12" s="8">
        <v>6</v>
      </c>
      <c r="O12" s="8">
        <v>0</v>
      </c>
      <c r="P12" s="7">
        <v>0</v>
      </c>
      <c r="Q12">
        <v>74</v>
      </c>
      <c r="R12">
        <v>83</v>
      </c>
      <c r="S12" s="9">
        <v>0.89156599999999997</v>
      </c>
      <c r="T12">
        <v>0</v>
      </c>
      <c r="U12" s="7">
        <f>SUM($T$2:T12)/SUM($T$2:$T$32)</f>
        <v>0.5</v>
      </c>
      <c r="V12" s="10" t="s">
        <v>35</v>
      </c>
    </row>
    <row r="13" spans="1:22" x14ac:dyDescent="0.2">
      <c r="A13" t="s">
        <v>22</v>
      </c>
      <c r="B13" t="s">
        <v>38</v>
      </c>
      <c r="C13">
        <v>11</v>
      </c>
      <c r="D13">
        <v>156</v>
      </c>
      <c r="E13">
        <v>156</v>
      </c>
      <c r="F13">
        <v>58</v>
      </c>
      <c r="G13">
        <v>0</v>
      </c>
      <c r="H13">
        <v>0</v>
      </c>
      <c r="I13">
        <v>9</v>
      </c>
      <c r="J13" s="7">
        <v>0.85897400000000002</v>
      </c>
      <c r="K13" s="7">
        <v>0.90384600000000004</v>
      </c>
      <c r="L13" s="8">
        <v>3</v>
      </c>
      <c r="M13" s="8">
        <v>0</v>
      </c>
      <c r="N13" s="8">
        <v>12</v>
      </c>
      <c r="O13" s="8">
        <v>0</v>
      </c>
      <c r="P13" s="7">
        <v>0.8</v>
      </c>
      <c r="Q13">
        <v>76</v>
      </c>
      <c r="R13">
        <v>84</v>
      </c>
      <c r="S13" s="9">
        <v>0.90476199999999996</v>
      </c>
      <c r="T13">
        <v>1</v>
      </c>
      <c r="U13" s="7">
        <f>SUM($T$2:T13)/SUM($T$2:$T$32)</f>
        <v>0.50649350649350644</v>
      </c>
      <c r="V13" s="10" t="s">
        <v>35</v>
      </c>
    </row>
    <row r="14" spans="1:22" x14ac:dyDescent="0.2">
      <c r="A14" s="12" t="s">
        <v>22</v>
      </c>
      <c r="B14" s="12" t="s">
        <v>39</v>
      </c>
      <c r="C14" s="12">
        <v>12</v>
      </c>
      <c r="D14" s="12">
        <v>156</v>
      </c>
      <c r="E14" s="12">
        <v>156</v>
      </c>
      <c r="F14" s="12">
        <v>58</v>
      </c>
      <c r="G14" s="12">
        <v>0</v>
      </c>
      <c r="H14" s="12">
        <v>0</v>
      </c>
      <c r="I14" s="12">
        <v>21</v>
      </c>
      <c r="J14" s="13">
        <v>0.64743600000000001</v>
      </c>
      <c r="K14" s="13">
        <v>0.72435899999999998</v>
      </c>
      <c r="L14" s="14">
        <v>0</v>
      </c>
      <c r="M14" s="14">
        <v>0</v>
      </c>
      <c r="N14" s="14">
        <v>44</v>
      </c>
      <c r="O14" s="14">
        <v>0</v>
      </c>
      <c r="P14" s="13">
        <v>0.8</v>
      </c>
      <c r="Q14" s="12">
        <v>64</v>
      </c>
      <c r="R14" s="12">
        <v>90</v>
      </c>
      <c r="S14" s="15">
        <v>0.71111100000000005</v>
      </c>
      <c r="T14" s="12">
        <v>9</v>
      </c>
      <c r="U14" s="13">
        <f>SUM($T$2:T14)/SUM($T$2:$T$32)</f>
        <v>0.56493506493506496</v>
      </c>
      <c r="V14" s="16" t="s">
        <v>35</v>
      </c>
    </row>
    <row r="15" spans="1:22" x14ac:dyDescent="0.2">
      <c r="A15" t="s">
        <v>22</v>
      </c>
      <c r="B15" t="s">
        <v>40</v>
      </c>
      <c r="C15">
        <v>13</v>
      </c>
      <c r="D15">
        <v>156</v>
      </c>
      <c r="E15">
        <v>156</v>
      </c>
      <c r="F15">
        <v>58</v>
      </c>
      <c r="G15">
        <v>0</v>
      </c>
      <c r="H15">
        <v>0</v>
      </c>
      <c r="I15">
        <v>1</v>
      </c>
      <c r="J15" s="7">
        <v>0.95512799999999998</v>
      </c>
      <c r="K15" s="7">
        <v>0.961538</v>
      </c>
      <c r="L15" s="8">
        <v>0</v>
      </c>
      <c r="M15" s="8">
        <v>0</v>
      </c>
      <c r="N15" s="8">
        <v>6</v>
      </c>
      <c r="O15" s="8">
        <v>0</v>
      </c>
      <c r="P15" s="7">
        <v>0.8</v>
      </c>
      <c r="Q15">
        <v>98</v>
      </c>
      <c r="R15">
        <v>106</v>
      </c>
      <c r="S15" s="9">
        <v>0.92452800000000002</v>
      </c>
      <c r="T15">
        <v>0</v>
      </c>
      <c r="U15" s="7">
        <f>SUM($T$2:T15)/SUM($T$2:$T$32)</f>
        <v>0.56493506493506496</v>
      </c>
      <c r="V15" s="10" t="s">
        <v>35</v>
      </c>
    </row>
    <row r="16" spans="1:22" x14ac:dyDescent="0.2">
      <c r="A16" t="s">
        <v>22</v>
      </c>
      <c r="B16" t="s">
        <v>41</v>
      </c>
      <c r="C16">
        <v>14</v>
      </c>
      <c r="D16">
        <v>156</v>
      </c>
      <c r="E16">
        <v>156</v>
      </c>
      <c r="F16">
        <v>58</v>
      </c>
      <c r="G16">
        <v>0</v>
      </c>
      <c r="H16">
        <v>0</v>
      </c>
      <c r="I16">
        <v>36</v>
      </c>
      <c r="J16" s="7">
        <v>0.42307699999999998</v>
      </c>
      <c r="K16" s="7">
        <v>0.56410300000000002</v>
      </c>
      <c r="L16" s="8">
        <v>7</v>
      </c>
      <c r="M16" s="8">
        <v>0</v>
      </c>
      <c r="N16" s="8">
        <v>63</v>
      </c>
      <c r="O16" s="8">
        <v>1</v>
      </c>
      <c r="P16" s="7">
        <v>0.8</v>
      </c>
      <c r="Q16">
        <v>47</v>
      </c>
      <c r="R16">
        <v>88</v>
      </c>
      <c r="S16" s="9">
        <v>0.53409099999999998</v>
      </c>
      <c r="T16">
        <v>4</v>
      </c>
      <c r="U16" s="7">
        <f>SUM($T$2:T16)/SUM($T$2:$T$32)</f>
        <v>0.59090909090909094</v>
      </c>
      <c r="V16" s="10" t="s">
        <v>35</v>
      </c>
    </row>
    <row r="17" spans="1:22" x14ac:dyDescent="0.2">
      <c r="A17" s="12" t="s">
        <v>22</v>
      </c>
      <c r="B17" s="12" t="s">
        <v>42</v>
      </c>
      <c r="C17" s="12">
        <v>15</v>
      </c>
      <c r="D17" s="12">
        <v>156</v>
      </c>
      <c r="E17" s="12">
        <v>156</v>
      </c>
      <c r="F17" s="12">
        <v>58</v>
      </c>
      <c r="G17" s="12">
        <v>0</v>
      </c>
      <c r="H17" s="12">
        <v>0</v>
      </c>
      <c r="I17" s="12">
        <v>31</v>
      </c>
      <c r="J17" s="13">
        <v>0.480769</v>
      </c>
      <c r="K17" s="13">
        <v>0.64102599999999998</v>
      </c>
      <c r="L17" s="14">
        <v>2</v>
      </c>
      <c r="M17" s="14">
        <v>0</v>
      </c>
      <c r="N17" s="14">
        <v>56</v>
      </c>
      <c r="O17" s="14">
        <v>0</v>
      </c>
      <c r="P17" s="13">
        <v>0.9</v>
      </c>
      <c r="Q17" s="12">
        <v>57</v>
      </c>
      <c r="R17" s="12">
        <v>83</v>
      </c>
      <c r="S17" s="15">
        <v>0.686747</v>
      </c>
      <c r="T17" s="12">
        <v>1</v>
      </c>
      <c r="U17" s="13">
        <f>SUM($T$2:T17)/SUM($T$2:$T$32)</f>
        <v>0.59740259740259738</v>
      </c>
      <c r="V17" s="16" t="s">
        <v>35</v>
      </c>
    </row>
    <row r="18" spans="1:22" x14ac:dyDescent="0.2">
      <c r="A18" t="s">
        <v>22</v>
      </c>
      <c r="B18" t="s">
        <v>43</v>
      </c>
      <c r="C18">
        <v>16</v>
      </c>
      <c r="D18">
        <v>156</v>
      </c>
      <c r="E18">
        <v>156</v>
      </c>
      <c r="F18">
        <v>58</v>
      </c>
      <c r="G18">
        <v>0</v>
      </c>
      <c r="H18">
        <v>0</v>
      </c>
      <c r="I18">
        <v>21</v>
      </c>
      <c r="J18" s="7">
        <v>0.711538</v>
      </c>
      <c r="K18" s="7">
        <v>0.76282099999999997</v>
      </c>
      <c r="L18" s="8">
        <v>4</v>
      </c>
      <c r="M18" s="8">
        <v>0</v>
      </c>
      <c r="N18" s="8">
        <v>34</v>
      </c>
      <c r="O18" s="8">
        <v>0</v>
      </c>
      <c r="P18" s="7">
        <v>0.8</v>
      </c>
      <c r="Q18">
        <v>43</v>
      </c>
      <c r="R18">
        <v>95</v>
      </c>
      <c r="S18" s="9">
        <v>0.45263199999999998</v>
      </c>
      <c r="T18">
        <v>14</v>
      </c>
      <c r="U18" s="7">
        <f>SUM($T$2:T18)/SUM($T$2:$T$32)</f>
        <v>0.68831168831168832</v>
      </c>
      <c r="V18" s="10" t="s">
        <v>35</v>
      </c>
    </row>
    <row r="19" spans="1:22" x14ac:dyDescent="0.2">
      <c r="A19" t="s">
        <v>22</v>
      </c>
      <c r="B19" t="s">
        <v>44</v>
      </c>
      <c r="C19">
        <v>17</v>
      </c>
      <c r="D19">
        <v>156</v>
      </c>
      <c r="E19">
        <v>156</v>
      </c>
      <c r="F19">
        <v>58</v>
      </c>
      <c r="G19">
        <v>0</v>
      </c>
      <c r="H19">
        <v>0</v>
      </c>
      <c r="I19">
        <v>19</v>
      </c>
      <c r="J19" s="7">
        <v>0.55769199999999997</v>
      </c>
      <c r="K19" s="7">
        <v>0.62179499999999999</v>
      </c>
      <c r="L19" s="8">
        <v>0</v>
      </c>
      <c r="M19" s="8">
        <v>0</v>
      </c>
      <c r="N19" s="8">
        <v>64</v>
      </c>
      <c r="O19" s="8">
        <v>0</v>
      </c>
      <c r="P19" s="7">
        <v>0.8</v>
      </c>
      <c r="Q19">
        <v>50</v>
      </c>
      <c r="R19">
        <v>101</v>
      </c>
      <c r="S19" s="9">
        <v>0.49504999999999999</v>
      </c>
      <c r="T19">
        <v>9</v>
      </c>
      <c r="U19" s="7">
        <f>SUM($T$2:T19)/SUM($T$2:$T$32)</f>
        <v>0.74675324675324672</v>
      </c>
      <c r="V19" s="10" t="s">
        <v>35</v>
      </c>
    </row>
    <row r="20" spans="1:22" x14ac:dyDescent="0.2">
      <c r="A20" t="s">
        <v>22</v>
      </c>
      <c r="B20" t="s">
        <v>45</v>
      </c>
      <c r="C20">
        <v>18</v>
      </c>
      <c r="D20">
        <v>156</v>
      </c>
      <c r="E20">
        <v>156</v>
      </c>
      <c r="F20">
        <v>58</v>
      </c>
      <c r="G20">
        <v>0</v>
      </c>
      <c r="H20">
        <v>0</v>
      </c>
      <c r="I20">
        <v>21</v>
      </c>
      <c r="J20" s="7">
        <v>0.25641000000000003</v>
      </c>
      <c r="K20" s="7">
        <v>0.35256399999999999</v>
      </c>
      <c r="L20" s="8">
        <v>2</v>
      </c>
      <c r="M20" s="8">
        <v>0</v>
      </c>
      <c r="N20" s="8">
        <v>105</v>
      </c>
      <c r="O20" s="8">
        <v>0</v>
      </c>
      <c r="P20" s="7">
        <v>0</v>
      </c>
      <c r="Q20">
        <v>28</v>
      </c>
      <c r="R20">
        <v>107</v>
      </c>
      <c r="S20" s="9">
        <v>0.26168200000000003</v>
      </c>
      <c r="T20">
        <v>6</v>
      </c>
      <c r="U20" s="7">
        <f>SUM($T$2:T20)/SUM($T$2:$T$32)</f>
        <v>0.7857142857142857</v>
      </c>
      <c r="V20" s="10" t="s">
        <v>35</v>
      </c>
    </row>
    <row r="21" spans="1:22" x14ac:dyDescent="0.2">
      <c r="A21" t="s">
        <v>22</v>
      </c>
      <c r="B21" t="s">
        <v>46</v>
      </c>
      <c r="C21">
        <v>19</v>
      </c>
      <c r="D21">
        <v>156</v>
      </c>
      <c r="E21">
        <v>156</v>
      </c>
      <c r="F21">
        <v>58</v>
      </c>
      <c r="G21">
        <v>0</v>
      </c>
      <c r="H21">
        <v>0</v>
      </c>
      <c r="I21">
        <v>0</v>
      </c>
      <c r="J21" s="7">
        <v>0.90384600000000004</v>
      </c>
      <c r="K21" s="7">
        <v>0.90384600000000004</v>
      </c>
      <c r="L21" s="8">
        <v>0</v>
      </c>
      <c r="M21" s="8">
        <v>0</v>
      </c>
      <c r="N21" s="8">
        <v>15</v>
      </c>
      <c r="O21" s="8">
        <v>0</v>
      </c>
      <c r="P21" s="7">
        <v>0</v>
      </c>
      <c r="Q21">
        <v>103</v>
      </c>
      <c r="R21">
        <v>109</v>
      </c>
      <c r="S21" s="9">
        <v>0.94495399999999996</v>
      </c>
      <c r="T21">
        <v>1</v>
      </c>
      <c r="U21" s="7">
        <f>SUM($T$2:T21)/SUM($T$2:$T$32)</f>
        <v>0.79220779220779225</v>
      </c>
      <c r="V21" s="10" t="s">
        <v>35</v>
      </c>
    </row>
    <row r="22" spans="1:22" x14ac:dyDescent="0.2">
      <c r="A22" t="s">
        <v>22</v>
      </c>
      <c r="B22" t="s">
        <v>47</v>
      </c>
      <c r="C22">
        <v>20</v>
      </c>
      <c r="D22">
        <v>156</v>
      </c>
      <c r="E22">
        <v>156</v>
      </c>
      <c r="F22">
        <v>58</v>
      </c>
      <c r="G22">
        <v>0</v>
      </c>
      <c r="H22">
        <v>0</v>
      </c>
      <c r="I22">
        <v>0</v>
      </c>
      <c r="J22" s="7">
        <v>0.92948699999999995</v>
      </c>
      <c r="K22" s="7">
        <v>0.92948699999999995</v>
      </c>
      <c r="L22" s="8">
        <v>3</v>
      </c>
      <c r="M22" s="8">
        <v>0</v>
      </c>
      <c r="N22" s="8">
        <v>8</v>
      </c>
      <c r="O22" s="8">
        <v>0</v>
      </c>
      <c r="P22" s="7">
        <v>0.7</v>
      </c>
      <c r="Q22">
        <v>42</v>
      </c>
      <c r="R22">
        <v>107</v>
      </c>
      <c r="S22" s="9">
        <v>0.39252300000000001</v>
      </c>
      <c r="T22">
        <v>0</v>
      </c>
      <c r="U22" s="7">
        <f>SUM($T$2:T22)/SUM($T$2:$T$32)</f>
        <v>0.79220779220779225</v>
      </c>
      <c r="V22" s="6" t="s">
        <v>26</v>
      </c>
    </row>
    <row r="23" spans="1:22" x14ac:dyDescent="0.2">
      <c r="A23" t="s">
        <v>22</v>
      </c>
      <c r="B23" t="s">
        <v>48</v>
      </c>
      <c r="C23">
        <v>21</v>
      </c>
      <c r="D23">
        <v>156</v>
      </c>
      <c r="E23">
        <v>156</v>
      </c>
      <c r="F23">
        <v>58</v>
      </c>
      <c r="G23">
        <v>0</v>
      </c>
      <c r="H23">
        <v>0</v>
      </c>
      <c r="I23">
        <v>0</v>
      </c>
      <c r="J23" s="7">
        <v>0.88461500000000004</v>
      </c>
      <c r="K23" s="7">
        <v>0.88461500000000004</v>
      </c>
      <c r="L23" s="8">
        <v>4</v>
      </c>
      <c r="M23" s="8">
        <v>0</v>
      </c>
      <c r="N23" s="8">
        <v>14</v>
      </c>
      <c r="O23" s="8">
        <v>0</v>
      </c>
      <c r="P23" s="7">
        <v>0.9</v>
      </c>
      <c r="Q23">
        <v>100</v>
      </c>
      <c r="R23">
        <v>112</v>
      </c>
      <c r="S23" s="9">
        <v>0.89285700000000001</v>
      </c>
      <c r="T23">
        <v>0</v>
      </c>
      <c r="U23" s="7">
        <f>SUM($T$2:T23)/SUM($T$2:$T$32)</f>
        <v>0.79220779220779225</v>
      </c>
      <c r="V23" s="10" t="s">
        <v>24</v>
      </c>
    </row>
    <row r="24" spans="1:22" x14ac:dyDescent="0.2">
      <c r="A24" t="s">
        <v>22</v>
      </c>
      <c r="B24" t="s">
        <v>49</v>
      </c>
      <c r="C24">
        <v>22</v>
      </c>
      <c r="D24">
        <v>156</v>
      </c>
      <c r="E24">
        <v>156</v>
      </c>
      <c r="F24">
        <v>58</v>
      </c>
      <c r="G24">
        <v>0</v>
      </c>
      <c r="H24">
        <v>0</v>
      </c>
      <c r="I24">
        <v>0</v>
      </c>
      <c r="J24" s="7">
        <v>0.57692299999999996</v>
      </c>
      <c r="K24" s="7">
        <v>0.57692299999999996</v>
      </c>
      <c r="L24" s="8">
        <v>1</v>
      </c>
      <c r="M24" s="8">
        <v>0</v>
      </c>
      <c r="N24" s="8">
        <v>66</v>
      </c>
      <c r="O24" s="8">
        <v>0</v>
      </c>
      <c r="P24" s="7">
        <v>0.8</v>
      </c>
      <c r="Q24">
        <v>74</v>
      </c>
      <c r="R24">
        <v>112</v>
      </c>
      <c r="S24" s="9">
        <v>0.66071400000000002</v>
      </c>
      <c r="T24">
        <v>3</v>
      </c>
      <c r="U24" s="7">
        <f>SUM($T$2:T24)/SUM($T$2:$T$32)</f>
        <v>0.81168831168831168</v>
      </c>
      <c r="V24" s="6" t="s">
        <v>26</v>
      </c>
    </row>
    <row r="25" spans="1:22" x14ac:dyDescent="0.2">
      <c r="A25" t="s">
        <v>22</v>
      </c>
      <c r="B25" t="s">
        <v>50</v>
      </c>
      <c r="C25">
        <v>23</v>
      </c>
      <c r="D25">
        <v>156</v>
      </c>
      <c r="E25">
        <v>156</v>
      </c>
      <c r="F25">
        <v>58</v>
      </c>
      <c r="G25">
        <v>0</v>
      </c>
      <c r="H25">
        <v>0</v>
      </c>
      <c r="I25">
        <v>0</v>
      </c>
      <c r="J25" s="7">
        <v>0.70512799999999998</v>
      </c>
      <c r="K25" s="7">
        <v>0.70512799999999998</v>
      </c>
      <c r="L25" s="8">
        <v>2</v>
      </c>
      <c r="M25" s="8">
        <v>0</v>
      </c>
      <c r="N25" s="8">
        <v>46</v>
      </c>
      <c r="O25" s="8">
        <v>0</v>
      </c>
      <c r="P25" s="7">
        <v>0.9</v>
      </c>
      <c r="Q25">
        <v>68</v>
      </c>
      <c r="R25">
        <v>113</v>
      </c>
      <c r="S25" s="9">
        <v>0.60177000000000003</v>
      </c>
      <c r="T25">
        <v>0</v>
      </c>
      <c r="U25" s="7">
        <f>SUM($T$2:T25)/SUM($T$2:$T$32)</f>
        <v>0.81168831168831168</v>
      </c>
      <c r="V25" s="6" t="s">
        <v>26</v>
      </c>
    </row>
    <row r="26" spans="1:22" x14ac:dyDescent="0.2">
      <c r="A26" t="s">
        <v>22</v>
      </c>
      <c r="B26" t="s">
        <v>51</v>
      </c>
      <c r="C26">
        <v>24</v>
      </c>
      <c r="D26">
        <v>156</v>
      </c>
      <c r="E26">
        <v>156</v>
      </c>
      <c r="F26">
        <v>58</v>
      </c>
      <c r="G26">
        <v>0</v>
      </c>
      <c r="H26">
        <v>0</v>
      </c>
      <c r="I26">
        <v>15</v>
      </c>
      <c r="J26" s="7">
        <v>0.54487200000000002</v>
      </c>
      <c r="K26" s="7">
        <v>0.55769199999999997</v>
      </c>
      <c r="L26" s="8">
        <v>4</v>
      </c>
      <c r="M26" s="8">
        <v>0</v>
      </c>
      <c r="N26" s="8">
        <v>74</v>
      </c>
      <c r="O26" s="8">
        <v>0</v>
      </c>
      <c r="P26" s="7">
        <v>0.9</v>
      </c>
      <c r="Q26">
        <v>75</v>
      </c>
      <c r="R26">
        <v>110</v>
      </c>
      <c r="S26" s="9">
        <v>0.68181800000000004</v>
      </c>
      <c r="T26">
        <v>11</v>
      </c>
      <c r="U26" s="7">
        <f>SUM($T$2:T26)/SUM($T$2:$T$32)</f>
        <v>0.88311688311688308</v>
      </c>
      <c r="V26" s="10" t="s">
        <v>35</v>
      </c>
    </row>
    <row r="27" spans="1:22" x14ac:dyDescent="0.2">
      <c r="A27" t="s">
        <v>22</v>
      </c>
      <c r="B27" t="s">
        <v>52</v>
      </c>
      <c r="C27">
        <v>26</v>
      </c>
      <c r="D27">
        <v>156</v>
      </c>
      <c r="E27">
        <v>156</v>
      </c>
      <c r="F27">
        <v>58</v>
      </c>
      <c r="G27">
        <v>0</v>
      </c>
      <c r="H27">
        <v>0</v>
      </c>
      <c r="I27">
        <v>0</v>
      </c>
      <c r="J27" s="7">
        <v>0.97435899999999998</v>
      </c>
      <c r="K27" s="7">
        <v>0.97435899999999998</v>
      </c>
      <c r="L27" s="8">
        <v>0</v>
      </c>
      <c r="M27" s="8">
        <v>0</v>
      </c>
      <c r="N27" s="8">
        <v>4</v>
      </c>
      <c r="O27" s="8">
        <v>0</v>
      </c>
      <c r="P27" s="7">
        <v>0.8</v>
      </c>
      <c r="Q27">
        <v>64</v>
      </c>
      <c r="R27">
        <v>77</v>
      </c>
      <c r="S27" s="9">
        <v>0.83116900000000005</v>
      </c>
      <c r="T27">
        <v>0</v>
      </c>
      <c r="U27" s="7">
        <f>SUM($T$2:T27)/SUM($T$2:$T$32)</f>
        <v>0.88311688311688308</v>
      </c>
      <c r="V27" s="6" t="s">
        <v>26</v>
      </c>
    </row>
    <row r="28" spans="1:22" x14ac:dyDescent="0.2">
      <c r="A28" t="s">
        <v>22</v>
      </c>
      <c r="B28" t="s">
        <v>53</v>
      </c>
      <c r="C28">
        <v>27</v>
      </c>
      <c r="D28">
        <v>156</v>
      </c>
      <c r="E28">
        <v>156</v>
      </c>
      <c r="F28">
        <v>58</v>
      </c>
      <c r="G28">
        <v>0</v>
      </c>
      <c r="H28">
        <v>0</v>
      </c>
      <c r="I28">
        <v>0</v>
      </c>
      <c r="J28" s="7">
        <v>0.788462</v>
      </c>
      <c r="K28" s="7">
        <v>0.788462</v>
      </c>
      <c r="L28" s="8">
        <v>1</v>
      </c>
      <c r="M28" s="8">
        <v>0</v>
      </c>
      <c r="N28" s="8">
        <v>32</v>
      </c>
      <c r="O28" s="8">
        <v>0</v>
      </c>
      <c r="P28" s="7">
        <v>0.8</v>
      </c>
      <c r="Q28">
        <v>38</v>
      </c>
      <c r="R28">
        <v>60</v>
      </c>
      <c r="S28" s="9">
        <v>0.63333300000000003</v>
      </c>
      <c r="T28">
        <v>2</v>
      </c>
      <c r="U28" s="7">
        <f>SUM($T$2:T28)/SUM($T$2:$T$32)</f>
        <v>0.89610389610389607</v>
      </c>
      <c r="V28" s="17" t="s">
        <v>26</v>
      </c>
    </row>
    <row r="29" spans="1:22" x14ac:dyDescent="0.2">
      <c r="A29" t="s">
        <v>22</v>
      </c>
      <c r="B29" t="s">
        <v>54</v>
      </c>
      <c r="C29">
        <v>28</v>
      </c>
      <c r="D29">
        <v>156</v>
      </c>
      <c r="E29">
        <v>156</v>
      </c>
      <c r="F29">
        <v>58</v>
      </c>
      <c r="G29">
        <v>0</v>
      </c>
      <c r="H29">
        <v>0</v>
      </c>
      <c r="I29">
        <v>0</v>
      </c>
      <c r="J29" s="7">
        <v>0.82692299999999996</v>
      </c>
      <c r="K29" s="7">
        <v>0.82692299999999996</v>
      </c>
      <c r="L29" s="8">
        <v>1</v>
      </c>
      <c r="M29" s="8">
        <v>0</v>
      </c>
      <c r="N29" s="8">
        <v>30</v>
      </c>
      <c r="O29" s="8">
        <v>0</v>
      </c>
      <c r="P29" s="7">
        <v>0.8</v>
      </c>
      <c r="Q29">
        <v>90</v>
      </c>
      <c r="R29">
        <v>106</v>
      </c>
      <c r="S29" s="9">
        <v>0.84905699999999995</v>
      </c>
      <c r="T29">
        <v>0</v>
      </c>
      <c r="U29" s="7">
        <f>SUM($T$2:T29)/SUM($T$2:$T$32)</f>
        <v>0.89610389610389607</v>
      </c>
      <c r="V29" s="10" t="s">
        <v>24</v>
      </c>
    </row>
    <row r="30" spans="1:22" x14ac:dyDescent="0.2">
      <c r="A30" t="s">
        <v>22</v>
      </c>
      <c r="B30" t="s">
        <v>55</v>
      </c>
      <c r="C30">
        <v>29</v>
      </c>
      <c r="D30">
        <v>156</v>
      </c>
      <c r="E30">
        <v>156</v>
      </c>
      <c r="F30">
        <v>58</v>
      </c>
      <c r="G30">
        <v>0</v>
      </c>
      <c r="H30">
        <v>0</v>
      </c>
      <c r="I30">
        <v>0</v>
      </c>
      <c r="J30" s="7">
        <v>0.94230800000000003</v>
      </c>
      <c r="K30" s="7">
        <v>0.94230800000000003</v>
      </c>
      <c r="L30" s="8">
        <v>0</v>
      </c>
      <c r="M30" s="8">
        <v>0</v>
      </c>
      <c r="N30" s="8">
        <v>10</v>
      </c>
      <c r="O30" s="8">
        <v>0</v>
      </c>
      <c r="P30" s="7">
        <v>0.9</v>
      </c>
      <c r="Q30">
        <v>104</v>
      </c>
      <c r="R30">
        <v>111</v>
      </c>
      <c r="S30" s="9">
        <v>0.93693700000000002</v>
      </c>
      <c r="T30">
        <v>0</v>
      </c>
      <c r="U30" s="7">
        <f>SUM($T$2:T30)/SUM($T$2:$T$32)</f>
        <v>0.89610389610389607</v>
      </c>
      <c r="V30" s="10" t="s">
        <v>56</v>
      </c>
    </row>
    <row r="31" spans="1:22" x14ac:dyDescent="0.2">
      <c r="A31" t="s">
        <v>22</v>
      </c>
      <c r="B31" t="s">
        <v>57</v>
      </c>
      <c r="C31">
        <v>30</v>
      </c>
      <c r="D31">
        <v>156</v>
      </c>
      <c r="E31">
        <v>156</v>
      </c>
      <c r="F31">
        <v>58</v>
      </c>
      <c r="G31">
        <v>0</v>
      </c>
      <c r="H31">
        <v>0</v>
      </c>
      <c r="I31">
        <v>0</v>
      </c>
      <c r="J31" s="7">
        <v>0.77564100000000002</v>
      </c>
      <c r="K31" s="7">
        <v>0.77564100000000002</v>
      </c>
      <c r="L31" s="8">
        <v>0</v>
      </c>
      <c r="M31" s="8">
        <v>0</v>
      </c>
      <c r="N31" s="8">
        <v>37</v>
      </c>
      <c r="O31" s="8">
        <v>0</v>
      </c>
      <c r="P31" s="7">
        <v>0</v>
      </c>
      <c r="Q31">
        <v>74</v>
      </c>
      <c r="R31">
        <v>96</v>
      </c>
      <c r="S31" s="9">
        <v>0.77083299999999999</v>
      </c>
      <c r="T31">
        <v>15</v>
      </c>
      <c r="U31" s="7">
        <f>SUM($T$2:T31)/SUM($T$2:$T$32)</f>
        <v>0.99350649350649356</v>
      </c>
      <c r="V31" s="10" t="s">
        <v>35</v>
      </c>
    </row>
    <row r="32" spans="1:22" x14ac:dyDescent="0.2">
      <c r="A32" t="s">
        <v>22</v>
      </c>
      <c r="B32" t="s">
        <v>58</v>
      </c>
      <c r="C32">
        <v>31</v>
      </c>
      <c r="D32">
        <v>156</v>
      </c>
      <c r="E32">
        <v>156</v>
      </c>
      <c r="F32">
        <v>58</v>
      </c>
      <c r="G32">
        <v>0</v>
      </c>
      <c r="H32">
        <v>0</v>
      </c>
      <c r="I32">
        <v>1</v>
      </c>
      <c r="J32" s="7">
        <v>0.78205100000000005</v>
      </c>
      <c r="K32" s="7">
        <v>0.78205100000000005</v>
      </c>
      <c r="L32" s="8">
        <v>0</v>
      </c>
      <c r="M32" s="8">
        <v>0</v>
      </c>
      <c r="N32" s="8">
        <v>35</v>
      </c>
      <c r="O32" s="8">
        <v>0</v>
      </c>
      <c r="P32" s="7">
        <v>0.8</v>
      </c>
      <c r="Q32">
        <v>110</v>
      </c>
      <c r="R32">
        <v>111</v>
      </c>
      <c r="S32" s="9">
        <v>0.99099099999999996</v>
      </c>
      <c r="T32">
        <v>1</v>
      </c>
      <c r="U32" s="7">
        <f>SUM($T$2:T32)/SUM($T$2:$T$32)</f>
        <v>1</v>
      </c>
      <c r="V32" s="10" t="s">
        <v>35</v>
      </c>
    </row>
    <row r="33" spans="1:22" x14ac:dyDescent="0.2">
      <c r="A33" t="s">
        <v>22</v>
      </c>
      <c r="B33" t="s">
        <v>59</v>
      </c>
      <c r="C33">
        <v>32</v>
      </c>
      <c r="D33">
        <v>156</v>
      </c>
      <c r="E33">
        <v>156</v>
      </c>
      <c r="F33">
        <v>58</v>
      </c>
      <c r="G33">
        <v>0</v>
      </c>
      <c r="H33">
        <v>0</v>
      </c>
      <c r="I33">
        <v>0</v>
      </c>
      <c r="J33" s="7">
        <v>3.8462000000000003E-2</v>
      </c>
      <c r="K33" s="7">
        <v>3.8462000000000003E-2</v>
      </c>
      <c r="L33" s="8">
        <v>0</v>
      </c>
      <c r="M33" s="8">
        <v>0</v>
      </c>
      <c r="N33" s="8">
        <v>163</v>
      </c>
      <c r="O33" s="8">
        <v>0</v>
      </c>
      <c r="P33" s="7">
        <v>0.7</v>
      </c>
      <c r="Q33">
        <v>105</v>
      </c>
      <c r="R33">
        <v>110</v>
      </c>
      <c r="S33" s="9">
        <v>0.95454499999999998</v>
      </c>
      <c r="T33">
        <v>9</v>
      </c>
      <c r="V33" s="10"/>
    </row>
  </sheetData>
  <conditionalFormatting sqref="T2:T3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{EF6A5C58-CFAB-4144-8FDF-431CCE6F75CF}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6A5C58-CFAB-4144-8FDF-431CCE6F75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T2:T32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67036-32AE-BF45-BF4C-662649A6F2B6}">
  <dimension ref="A1:B10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60</v>
      </c>
      <c r="B1" t="s">
        <v>61</v>
      </c>
    </row>
    <row r="2" spans="1:2" x14ac:dyDescent="0.2">
      <c r="A2" s="18">
        <v>46107</v>
      </c>
      <c r="B2">
        <v>87</v>
      </c>
    </row>
    <row r="3" spans="1:2" x14ac:dyDescent="0.2">
      <c r="A3" s="18">
        <v>46108</v>
      </c>
      <c r="B3">
        <v>82</v>
      </c>
    </row>
    <row r="4" spans="1:2" x14ac:dyDescent="0.2">
      <c r="A4" s="18">
        <v>46109</v>
      </c>
      <c r="B4">
        <v>9</v>
      </c>
    </row>
    <row r="5" spans="1:2" x14ac:dyDescent="0.2">
      <c r="A5" s="18">
        <v>46110</v>
      </c>
      <c r="B5">
        <v>5</v>
      </c>
    </row>
    <row r="6" spans="1:2" x14ac:dyDescent="0.2">
      <c r="A6" s="18">
        <v>46111</v>
      </c>
      <c r="B6">
        <v>96</v>
      </c>
    </row>
    <row r="7" spans="1:2" x14ac:dyDescent="0.2">
      <c r="A7" s="18">
        <v>46112</v>
      </c>
      <c r="B7">
        <v>59</v>
      </c>
    </row>
    <row r="8" spans="1:2" x14ac:dyDescent="0.2">
      <c r="A8" s="18">
        <v>46113</v>
      </c>
      <c r="B8">
        <v>93</v>
      </c>
    </row>
    <row r="9" spans="1:2" x14ac:dyDescent="0.2">
      <c r="A9" s="18">
        <v>46114</v>
      </c>
      <c r="B9">
        <v>181</v>
      </c>
    </row>
    <row r="10" spans="1:2" x14ac:dyDescent="0.2">
      <c r="A10" s="18">
        <v>46115</v>
      </c>
      <c r="B10">
        <v>106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7c030e-3084-44b4-9da9-df8ba1254a7e}" enabled="1" method="Standard" siteId="{d441ad83-6235-46d6-ab1a-89744a91b1d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Timeseries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Bathla</dc:creator>
  <cp:lastModifiedBy>Abhishek Bathla</cp:lastModifiedBy>
  <dcterms:created xsi:type="dcterms:W3CDTF">2026-04-07T00:12:31Z</dcterms:created>
  <dcterms:modified xsi:type="dcterms:W3CDTF">2026-04-07T16:04:18Z</dcterms:modified>
</cp:coreProperties>
</file>